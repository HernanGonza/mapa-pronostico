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d17889807698bce/Escritorio ASUS/alerta misiones/MONITOREO DE PRECIPITACIONES/PRECIPITACIONES/"/>
    </mc:Choice>
  </mc:AlternateContent>
  <xr:revisionPtr revIDLastSave="719" documentId="11_AD4D2F04E46CFB4ACB3E20178556DE02683EDF26" xr6:coauthVersionLast="47" xr6:coauthVersionMax="47" xr10:uidLastSave="{07411B3C-68CD-4CD0-AFBA-AA27685A3300}"/>
  <bookViews>
    <workbookView xWindow="-108" yWindow="-108" windowWidth="23256" windowHeight="12456" xr2:uid="{00000000-000D-0000-FFFF-FFFF00000000}"/>
  </bookViews>
  <sheets>
    <sheet name="10,2026" sheetId="1" r:id="rId1"/>
    <sheet name="informe 13,10,26" sheetId="3" r:id="rId2"/>
    <sheet name="11,2026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" i="1" l="1"/>
  <c r="K53" i="1"/>
  <c r="K55" i="1" s="1"/>
  <c r="J53" i="1"/>
  <c r="I53" i="1"/>
  <c r="H53" i="1"/>
  <c r="H55" i="1" s="1"/>
  <c r="I35" i="1"/>
  <c r="G53" i="1"/>
  <c r="F35" i="1"/>
  <c r="F38" i="1" s="1"/>
  <c r="F53" i="1"/>
  <c r="E35" i="1"/>
  <c r="E38" i="1" s="1"/>
  <c r="D35" i="1"/>
  <c r="D38" i="1" s="1"/>
  <c r="F55" i="1"/>
  <c r="G55" i="1"/>
  <c r="I55" i="1"/>
  <c r="J55" i="1"/>
  <c r="L55" i="1"/>
  <c r="D55" i="1"/>
  <c r="C35" i="1"/>
  <c r="D53" i="1" s="1"/>
  <c r="C55" i="1"/>
  <c r="B38" i="1"/>
  <c r="B35" i="1"/>
  <c r="C53" i="1"/>
  <c r="L9" i="3"/>
  <c r="K9" i="3"/>
  <c r="J9" i="3"/>
  <c r="I9" i="3"/>
  <c r="H9" i="3"/>
  <c r="G9" i="3"/>
  <c r="F9" i="3"/>
  <c r="E9" i="3"/>
  <c r="D9" i="3"/>
  <c r="C9" i="3"/>
  <c r="H35" i="1"/>
  <c r="M35" i="1"/>
  <c r="M38" i="1" s="1"/>
  <c r="I38" i="1"/>
  <c r="J35" i="1"/>
  <c r="J38" i="1" s="1"/>
  <c r="L35" i="1"/>
  <c r="L38" i="1" s="1"/>
  <c r="G35" i="1"/>
  <c r="G38" i="1" s="1"/>
  <c r="S35" i="1"/>
  <c r="Q35" i="1"/>
  <c r="R35" i="1"/>
  <c r="P35" i="1"/>
  <c r="N35" i="1"/>
  <c r="N38" i="1" s="1"/>
  <c r="Y9" i="1"/>
  <c r="Z9" i="1"/>
  <c r="AA9" i="1"/>
  <c r="X9" i="1"/>
  <c r="T35" i="1"/>
  <c r="K35" i="1"/>
  <c r="K38" i="1" s="1"/>
  <c r="O35" i="1"/>
  <c r="O38" i="1" s="1"/>
  <c r="C38" i="1"/>
  <c r="E53" i="1" l="1"/>
  <c r="E55" i="1" s="1"/>
</calcChain>
</file>

<file path=xl/sharedStrings.xml><?xml version="1.0" encoding="utf-8"?>
<sst xmlns="http://schemas.openxmlformats.org/spreadsheetml/2006/main" count="84" uniqueCount="45">
  <si>
    <t>POSADAS</t>
  </si>
  <si>
    <t>P. IGUAZÚ</t>
  </si>
  <si>
    <t>B. IRIGOYEN</t>
  </si>
  <si>
    <t>DIA</t>
  </si>
  <si>
    <t>MES</t>
  </si>
  <si>
    <t>OCTUBRE</t>
  </si>
  <si>
    <t>TOTAL</t>
  </si>
  <si>
    <t>MEDIA</t>
  </si>
  <si>
    <t>ANOMALÍA</t>
  </si>
  <si>
    <t>ver</t>
  </si>
  <si>
    <t>CERRO AZUL</t>
  </si>
  <si>
    <t>PRECIPITACIONES ACUMULADAS DEL 8/10/2026 AL 12/10/2026 (mm)</t>
  </si>
  <si>
    <t>*</t>
  </si>
  <si>
    <r>
      <t>Posadas</t>
    </r>
    <r>
      <rPr>
        <b/>
        <vertAlign val="superscript"/>
        <sz val="11"/>
        <color theme="1"/>
        <rFont val="Calibri"/>
        <family val="2"/>
        <scheme val="minor"/>
      </rPr>
      <t>1</t>
    </r>
    <r>
      <rPr>
        <b/>
        <sz val="11"/>
        <color theme="1"/>
        <rFont val="Calibri"/>
        <family val="2"/>
        <scheme val="minor"/>
      </rPr>
      <t xml:space="preserve"> </t>
    </r>
  </si>
  <si>
    <r>
      <t>Bernardo de Irigoyen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</si>
  <si>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Puerto Andresito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</si>
  <si>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Puerto Iguazú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</si>
  <si>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 xml:space="preserve">1 </t>
    </r>
    <r>
      <rPr>
        <sz val="11"/>
        <color theme="1"/>
        <rFont val="Calibri"/>
        <family val="2"/>
        <scheme val="minor"/>
      </rPr>
      <t xml:space="preserve">Estaciones del SMN </t>
    </r>
  </si>
  <si>
    <r>
      <t xml:space="preserve">2 </t>
    </r>
    <r>
      <rPr>
        <sz val="11"/>
        <color theme="1"/>
        <rFont val="Calibri"/>
        <family val="2"/>
        <scheme val="minor"/>
      </rPr>
      <t>Estaciones del INTA</t>
    </r>
  </si>
  <si>
    <r>
      <t>4</t>
    </r>
    <r>
      <rPr>
        <sz val="11"/>
        <color theme="1"/>
        <rFont val="Calibri"/>
        <family val="2"/>
        <scheme val="minor"/>
      </rPr>
      <t xml:space="preserve"> Estaciones Red Matteo</t>
    </r>
  </si>
  <si>
    <r>
      <t>Cerro Azul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</si>
  <si>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r>
      <t>Oberá</t>
    </r>
    <r>
      <rPr>
        <b/>
        <vertAlign val="superscript"/>
        <sz val="11"/>
        <color theme="1"/>
        <rFont val="Calibri"/>
        <family val="2"/>
        <scheme val="minor"/>
      </rPr>
      <t>1</t>
    </r>
  </si>
  <si>
    <r>
      <t>Campo Grande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</si>
  <si>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Santa Rita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</si>
  <si>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**</t>
  </si>
  <si>
    <t>* se toma la media de Cerro Azul</t>
  </si>
  <si>
    <r>
      <t>San Antonio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</si>
  <si>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** se toma la media de Bernardo de Irigoyen</t>
  </si>
  <si>
    <t>***</t>
  </si>
  <si>
    <t>*** se toma la media de Puerto Iguazú</t>
  </si>
  <si>
    <t>7.5</t>
  </si>
  <si>
    <r>
      <t>Valle Hermoso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</si>
  <si>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Posadas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</si>
  <si>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3</t>
    </r>
    <r>
      <rPr>
        <sz val="11"/>
        <color theme="1"/>
        <rFont val="Calibri"/>
        <family val="2"/>
        <scheme val="minor"/>
      </rPr>
      <t xml:space="preserve"> Estaciones Automáticas </t>
    </r>
  </si>
  <si>
    <r>
      <t>El Soberbio (Aero)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</si>
  <si>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San Pedro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</si>
  <si>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Andresito Reserva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</si>
  <si>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r>
      <t>San Vicente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</si>
  <si>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 xml:space="preserve">MEDIA </t>
  </si>
  <si>
    <t>MONITOREO DE PRECIPITACIONES PROVINCIA DE MISIONES</t>
  </si>
  <si>
    <t>Valle Hermoso3</t>
  </si>
  <si>
    <t>Bernardo de Irigoyen1</t>
  </si>
  <si>
    <t>8/10-13/10</t>
  </si>
  <si>
    <t>período de medición: 09 hs del 13/10/26 a las 09hs del 14/10/26</t>
  </si>
  <si>
    <t>Las anomalías positivas indican que se superó la precipitación media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</si>
</sst>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3" borderId="2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2" xfId="0" applyFill="1" applyBorder="1"/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2" xfId="0" applyFill="1" applyBorder="1"/>
    <xf numFmtId="0" fontId="0" fillId="5" borderId="2" xfId="0" applyFill="1" applyBorder="1"/>
    <xf numFmtId="0" fontId="0" fillId="6" borderId="7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6" fontId="0" fillId="3" borderId="19" xfId="0" applyNumberFormat="1" applyFill="1" applyBorder="1" applyAlignment="1">
      <alignment horizontal="center"/>
    </xf>
    <xf numFmtId="0" fontId="0" fillId="3" borderId="20" xfId="0" applyFill="1" applyBorder="1"/>
    <xf numFmtId="0" fontId="0" fillId="3" borderId="21" xfId="0" applyFill="1" applyBorder="1"/>
    <xf numFmtId="0" fontId="0" fillId="3" borderId="22" xfId="0" applyFill="1" applyBorder="1"/>
    <xf numFmtId="16" fontId="0" fillId="3" borderId="23" xfId="0" applyNumberFormat="1" applyFill="1" applyBorder="1" applyAlignment="1">
      <alignment horizontal="center"/>
    </xf>
    <xf numFmtId="0" fontId="0" fillId="3" borderId="24" xfId="0" applyFill="1" applyBorder="1"/>
    <xf numFmtId="0" fontId="0" fillId="3" borderId="25" xfId="0" applyFill="1" applyBorder="1"/>
    <xf numFmtId="0" fontId="0" fillId="3" borderId="26" xfId="0" applyFill="1" applyBorder="1"/>
    <xf numFmtId="0" fontId="1" fillId="5" borderId="8" xfId="0" applyFont="1" applyFill="1" applyBorder="1" applyAlignment="1">
      <alignment horizontal="center"/>
    </xf>
    <xf numFmtId="0" fontId="1" fillId="5" borderId="2" xfId="0" applyFont="1" applyFill="1" applyBorder="1"/>
    <xf numFmtId="16" fontId="0" fillId="3" borderId="27" xfId="0" applyNumberFormat="1" applyFill="1" applyBorder="1" applyAlignment="1">
      <alignment horizontal="center"/>
    </xf>
    <xf numFmtId="0" fontId="0" fillId="3" borderId="28" xfId="0" applyFill="1" applyBorder="1"/>
    <xf numFmtId="0" fontId="0" fillId="3" borderId="29" xfId="0" applyFill="1" applyBorder="1"/>
    <xf numFmtId="0" fontId="0" fillId="3" borderId="30" xfId="0" applyFill="1" applyBorder="1"/>
    <xf numFmtId="0" fontId="1" fillId="3" borderId="8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0" fillId="5" borderId="8" xfId="0" applyFill="1" applyBorder="1"/>
    <xf numFmtId="0" fontId="0" fillId="3" borderId="1" xfId="0" applyFill="1" applyBorder="1"/>
    <xf numFmtId="0" fontId="1" fillId="3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/>
    </xf>
    <xf numFmtId="0" fontId="0" fillId="3" borderId="4" xfId="0" applyFill="1" applyBorder="1"/>
    <xf numFmtId="0" fontId="1" fillId="3" borderId="5" xfId="0" applyFont="1" applyFill="1" applyBorder="1" applyAlignment="1">
      <alignment horizontal="center" vertical="center" wrapText="1"/>
    </xf>
    <xf numFmtId="0" fontId="0" fillId="3" borderId="31" xfId="0" applyFill="1" applyBorder="1"/>
    <xf numFmtId="0" fontId="0" fillId="0" borderId="0" xfId="0" applyAlignment="1">
      <alignment horizontal="right"/>
    </xf>
    <xf numFmtId="0" fontId="2" fillId="0" borderId="0" xfId="0" applyFont="1"/>
    <xf numFmtId="0" fontId="0" fillId="2" borderId="9" xfId="0" applyFill="1" applyBorder="1"/>
    <xf numFmtId="0" fontId="0" fillId="4" borderId="9" xfId="0" applyFill="1" applyBorder="1"/>
    <xf numFmtId="0" fontId="0" fillId="4" borderId="1" xfId="0" applyFill="1" applyBorder="1" applyAlignment="1">
      <alignment horizontal="center"/>
    </xf>
    <xf numFmtId="0" fontId="1" fillId="3" borderId="32" xfId="0" applyFont="1" applyFill="1" applyBorder="1" applyAlignment="1">
      <alignment horizontal="center" vertical="center" wrapText="1"/>
    </xf>
    <xf numFmtId="0" fontId="0" fillId="3" borderId="33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7" fontId="0" fillId="3" borderId="8" xfId="0" applyNumberForma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3" borderId="14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5" borderId="34" xfId="0" applyFill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0" fillId="8" borderId="4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5" borderId="40" xfId="0" applyFill="1" applyBorder="1" applyAlignment="1">
      <alignment horizontal="center"/>
    </xf>
    <xf numFmtId="0" fontId="0" fillId="5" borderId="41" xfId="0" applyFill="1" applyBorder="1" applyAlignment="1">
      <alignment horizontal="center"/>
    </xf>
    <xf numFmtId="0" fontId="0" fillId="5" borderId="42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9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8" borderId="40" xfId="0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8"/>
  <sheetViews>
    <sheetView tabSelected="1" topLeftCell="A35" zoomScale="80" zoomScaleNormal="80" workbookViewId="0">
      <selection activeCell="H63" sqref="H63"/>
    </sheetView>
  </sheetViews>
  <sheetFormatPr baseColWidth="10" defaultColWidth="8.88671875" defaultRowHeight="14.4" x14ac:dyDescent="0.3"/>
  <cols>
    <col min="1" max="2" width="10.21875" customWidth="1"/>
    <col min="3" max="6" width="12.77734375" customWidth="1"/>
    <col min="7" max="7" width="13.6640625" customWidth="1"/>
    <col min="8" max="13" width="12.77734375" customWidth="1"/>
    <col min="14" max="14" width="16.21875" customWidth="1"/>
    <col min="15" max="20" width="12.77734375" customWidth="1"/>
    <col min="24" max="24" width="11.5546875" customWidth="1"/>
    <col min="25" max="25" width="13.6640625" customWidth="1"/>
    <col min="26" max="26" width="16.5546875" customWidth="1"/>
    <col min="27" max="27" width="14.21875" customWidth="1"/>
  </cols>
  <sheetData>
    <row r="1" spans="1:27" ht="15" thickBot="1" x14ac:dyDescent="0.35"/>
    <row r="2" spans="1:27" ht="15" thickBot="1" x14ac:dyDescent="0.35">
      <c r="A2" s="36" t="s">
        <v>4</v>
      </c>
      <c r="B2" s="36" t="s">
        <v>5</v>
      </c>
      <c r="C2" s="36">
        <v>2026</v>
      </c>
      <c r="W2" s="74" t="s">
        <v>11</v>
      </c>
      <c r="X2" s="75"/>
      <c r="Y2" s="75"/>
      <c r="Z2" s="75"/>
      <c r="AA2" s="76"/>
    </row>
    <row r="3" spans="1:27" ht="30.6" customHeight="1" thickBot="1" x14ac:dyDescent="0.35">
      <c r="A3" s="34" t="s">
        <v>3</v>
      </c>
      <c r="B3" s="45" t="s">
        <v>32</v>
      </c>
      <c r="C3" s="33" t="s">
        <v>13</v>
      </c>
      <c r="D3" s="35" t="s">
        <v>20</v>
      </c>
      <c r="E3" s="35" t="s">
        <v>34</v>
      </c>
      <c r="F3" s="35" t="s">
        <v>22</v>
      </c>
      <c r="G3" s="35" t="s">
        <v>23</v>
      </c>
      <c r="H3" s="35" t="s">
        <v>37</v>
      </c>
      <c r="I3" s="35" t="s">
        <v>35</v>
      </c>
      <c r="J3" s="35" t="s">
        <v>31</v>
      </c>
      <c r="K3" s="33" t="s">
        <v>14</v>
      </c>
      <c r="L3" s="33" t="s">
        <v>26</v>
      </c>
      <c r="M3" s="33" t="s">
        <v>36</v>
      </c>
      <c r="N3" s="33" t="s">
        <v>15</v>
      </c>
      <c r="O3" s="35" t="s">
        <v>16</v>
      </c>
      <c r="P3" s="37"/>
      <c r="Q3" s="33"/>
      <c r="R3" s="33"/>
      <c r="S3" s="33"/>
      <c r="T3" s="38" t="s">
        <v>21</v>
      </c>
      <c r="W3" s="28" t="s">
        <v>3</v>
      </c>
      <c r="X3" s="1" t="s">
        <v>0</v>
      </c>
      <c r="Y3" s="29" t="s">
        <v>10</v>
      </c>
      <c r="Z3" s="1" t="s">
        <v>2</v>
      </c>
      <c r="AA3" s="30" t="s">
        <v>1</v>
      </c>
    </row>
    <row r="4" spans="1:27" x14ac:dyDescent="0.3">
      <c r="A4" s="2">
        <v>1</v>
      </c>
      <c r="B4" s="46">
        <v>0</v>
      </c>
      <c r="C4" s="5">
        <v>0</v>
      </c>
      <c r="D4" s="12">
        <v>0</v>
      </c>
      <c r="E4" s="12">
        <v>0</v>
      </c>
      <c r="F4" s="12">
        <v>0</v>
      </c>
      <c r="G4" s="12">
        <v>0</v>
      </c>
      <c r="H4" s="12"/>
      <c r="I4" s="12">
        <v>3.6000000000000005</v>
      </c>
      <c r="J4" s="12">
        <v>0.3</v>
      </c>
      <c r="K4" s="5">
        <v>21</v>
      </c>
      <c r="L4" s="5">
        <v>0</v>
      </c>
      <c r="M4" s="5">
        <v>31.800000000000004</v>
      </c>
      <c r="N4" s="5">
        <v>37.5</v>
      </c>
      <c r="O4" s="12">
        <v>5</v>
      </c>
      <c r="P4" s="32"/>
      <c r="Q4" s="5"/>
      <c r="R4" s="5"/>
      <c r="S4" s="5"/>
      <c r="T4" s="6">
        <v>0</v>
      </c>
      <c r="W4" s="24">
        <v>46303</v>
      </c>
      <c r="X4" s="25">
        <v>32.4</v>
      </c>
      <c r="Y4" s="26">
        <v>23</v>
      </c>
      <c r="Z4" s="25">
        <v>0</v>
      </c>
      <c r="AA4" s="27">
        <v>0</v>
      </c>
    </row>
    <row r="5" spans="1:27" x14ac:dyDescent="0.3">
      <c r="A5" s="2">
        <v>2</v>
      </c>
      <c r="B5" s="46">
        <v>0</v>
      </c>
      <c r="C5" s="5">
        <v>0</v>
      </c>
      <c r="D5" s="12">
        <v>0</v>
      </c>
      <c r="E5" s="12">
        <v>0.2</v>
      </c>
      <c r="F5" s="12">
        <v>0</v>
      </c>
      <c r="G5" s="12">
        <v>0</v>
      </c>
      <c r="H5" s="12"/>
      <c r="I5" s="12">
        <v>0</v>
      </c>
      <c r="J5" s="12">
        <v>0</v>
      </c>
      <c r="K5" s="5">
        <v>0</v>
      </c>
      <c r="L5" s="5">
        <v>0</v>
      </c>
      <c r="M5" s="5">
        <v>0.2</v>
      </c>
      <c r="N5" s="5">
        <v>0</v>
      </c>
      <c r="O5" s="12">
        <v>0.1</v>
      </c>
      <c r="P5" s="32"/>
      <c r="Q5" s="5"/>
      <c r="R5" s="5"/>
      <c r="S5" s="5"/>
      <c r="T5" s="6">
        <v>0</v>
      </c>
      <c r="W5" s="14">
        <v>46304</v>
      </c>
      <c r="X5" s="15">
        <v>37.4</v>
      </c>
      <c r="Y5" s="16">
        <v>30</v>
      </c>
      <c r="Z5" s="15">
        <v>49</v>
      </c>
      <c r="AA5" s="17">
        <v>15</v>
      </c>
    </row>
    <row r="6" spans="1:27" x14ac:dyDescent="0.3">
      <c r="A6" s="2">
        <v>3</v>
      </c>
      <c r="B6" s="46">
        <v>0</v>
      </c>
      <c r="C6" s="5">
        <v>0</v>
      </c>
      <c r="D6" s="12">
        <v>0</v>
      </c>
      <c r="E6" s="12">
        <v>0</v>
      </c>
      <c r="F6" s="12">
        <v>0</v>
      </c>
      <c r="G6" s="12">
        <v>0</v>
      </c>
      <c r="H6" s="12"/>
      <c r="I6" s="12">
        <v>0</v>
      </c>
      <c r="J6" s="12">
        <v>0</v>
      </c>
      <c r="K6" s="5">
        <v>0</v>
      </c>
      <c r="L6" s="5">
        <v>0</v>
      </c>
      <c r="M6" s="5">
        <v>0</v>
      </c>
      <c r="N6" s="5">
        <v>0</v>
      </c>
      <c r="O6" s="12">
        <v>0</v>
      </c>
      <c r="P6" s="32"/>
      <c r="Q6" s="5"/>
      <c r="R6" s="5"/>
      <c r="S6" s="5"/>
      <c r="T6" s="6">
        <v>0</v>
      </c>
      <c r="W6" s="14">
        <v>46305</v>
      </c>
      <c r="X6" s="15">
        <v>47.4</v>
      </c>
      <c r="Y6" s="16">
        <v>36</v>
      </c>
      <c r="Z6" s="15">
        <v>10</v>
      </c>
      <c r="AA6" s="17">
        <v>11</v>
      </c>
    </row>
    <row r="7" spans="1:27" x14ac:dyDescent="0.3">
      <c r="A7" s="2">
        <v>4</v>
      </c>
      <c r="B7" s="46">
        <v>42.6</v>
      </c>
      <c r="C7" s="5">
        <v>50</v>
      </c>
      <c r="D7" s="12">
        <v>58</v>
      </c>
      <c r="E7" s="12">
        <v>44.8</v>
      </c>
      <c r="F7" s="12">
        <v>51</v>
      </c>
      <c r="G7" s="12">
        <v>86.5</v>
      </c>
      <c r="H7" s="12"/>
      <c r="I7" s="12">
        <v>47.999999999999993</v>
      </c>
      <c r="J7" s="12">
        <v>33.5</v>
      </c>
      <c r="K7" s="5">
        <v>60</v>
      </c>
      <c r="L7" s="44"/>
      <c r="M7" s="5">
        <v>54.599999999999994</v>
      </c>
      <c r="N7" s="5">
        <v>0</v>
      </c>
      <c r="O7" s="12">
        <v>73</v>
      </c>
      <c r="P7" s="32"/>
      <c r="Q7" s="5"/>
      <c r="R7" s="5"/>
      <c r="S7" s="5"/>
      <c r="T7" s="11" t="s">
        <v>9</v>
      </c>
      <c r="W7" s="14">
        <v>46306</v>
      </c>
      <c r="X7" s="15">
        <v>4</v>
      </c>
      <c r="Y7" s="16">
        <v>3</v>
      </c>
      <c r="Z7" s="15">
        <v>44</v>
      </c>
      <c r="AA7" s="17">
        <v>39</v>
      </c>
    </row>
    <row r="8" spans="1:27" ht="15" thickBot="1" x14ac:dyDescent="0.35">
      <c r="A8" s="2">
        <v>5</v>
      </c>
      <c r="B8" s="46">
        <v>0</v>
      </c>
      <c r="C8" s="5">
        <v>0</v>
      </c>
      <c r="D8" s="12">
        <v>0</v>
      </c>
      <c r="E8" s="12">
        <v>0</v>
      </c>
      <c r="F8" s="12">
        <v>0</v>
      </c>
      <c r="G8" s="12">
        <v>0</v>
      </c>
      <c r="H8" s="12"/>
      <c r="I8" s="12">
        <v>0</v>
      </c>
      <c r="J8" s="12">
        <v>0.3</v>
      </c>
      <c r="K8" s="5">
        <v>0</v>
      </c>
      <c r="L8" s="5">
        <v>0</v>
      </c>
      <c r="M8" s="5">
        <v>0.2</v>
      </c>
      <c r="N8" s="5">
        <v>0</v>
      </c>
      <c r="O8" s="12">
        <v>0</v>
      </c>
      <c r="P8" s="32"/>
      <c r="Q8" s="5"/>
      <c r="R8" s="5"/>
      <c r="S8" s="5"/>
      <c r="T8" s="6">
        <v>0</v>
      </c>
      <c r="W8" s="18">
        <v>46307</v>
      </c>
      <c r="X8" s="19">
        <v>17</v>
      </c>
      <c r="Y8" s="20">
        <v>5</v>
      </c>
      <c r="Z8" s="19">
        <v>25</v>
      </c>
      <c r="AA8" s="21">
        <v>81</v>
      </c>
    </row>
    <row r="9" spans="1:27" ht="15" thickBot="1" x14ac:dyDescent="0.35">
      <c r="A9" s="2">
        <v>6</v>
      </c>
      <c r="B9" s="46">
        <v>0</v>
      </c>
      <c r="C9" s="5">
        <v>0.1</v>
      </c>
      <c r="D9" s="12">
        <v>0.3</v>
      </c>
      <c r="E9" s="12">
        <v>6.6000000000000005</v>
      </c>
      <c r="F9" s="12">
        <v>4.3</v>
      </c>
      <c r="G9" s="12">
        <v>0</v>
      </c>
      <c r="H9" s="12"/>
      <c r="I9" s="12">
        <v>18.2</v>
      </c>
      <c r="J9" s="12">
        <v>19.3</v>
      </c>
      <c r="K9" s="5">
        <v>6</v>
      </c>
      <c r="L9" s="44"/>
      <c r="M9" s="5">
        <v>2</v>
      </c>
      <c r="N9" s="5">
        <v>0</v>
      </c>
      <c r="O9" s="12">
        <v>0.1</v>
      </c>
      <c r="P9" s="32"/>
      <c r="Q9" s="5"/>
      <c r="R9" s="5"/>
      <c r="S9" s="5"/>
      <c r="T9" s="6">
        <v>4</v>
      </c>
      <c r="W9" s="22" t="s">
        <v>6</v>
      </c>
      <c r="X9" s="23">
        <f>SUM(X4:X8)</f>
        <v>138.19999999999999</v>
      </c>
      <c r="Y9" s="23">
        <f t="shared" ref="Y9:AA9" si="0">SUM(Y4:Y8)</f>
        <v>97</v>
      </c>
      <c r="Z9" s="23">
        <f t="shared" si="0"/>
        <v>128</v>
      </c>
      <c r="AA9" s="23">
        <f t="shared" si="0"/>
        <v>146</v>
      </c>
    </row>
    <row r="10" spans="1:27" x14ac:dyDescent="0.3">
      <c r="A10" s="2">
        <v>7</v>
      </c>
      <c r="B10" s="46">
        <v>0</v>
      </c>
      <c r="C10" s="5">
        <v>0</v>
      </c>
      <c r="D10" s="12">
        <v>0</v>
      </c>
      <c r="E10" s="12">
        <v>1.8</v>
      </c>
      <c r="F10" s="12">
        <v>0</v>
      </c>
      <c r="G10" s="12">
        <v>0</v>
      </c>
      <c r="H10" s="12"/>
      <c r="I10" s="12">
        <v>0</v>
      </c>
      <c r="J10" s="12">
        <v>0</v>
      </c>
      <c r="K10" s="5">
        <v>0</v>
      </c>
      <c r="L10" s="5">
        <v>0</v>
      </c>
      <c r="M10" s="5">
        <v>2</v>
      </c>
      <c r="N10" s="5">
        <v>0</v>
      </c>
      <c r="O10" s="12">
        <v>0.1</v>
      </c>
      <c r="P10" s="32"/>
      <c r="Q10" s="5"/>
      <c r="R10" s="5"/>
      <c r="S10" s="5"/>
      <c r="T10" s="6">
        <v>0</v>
      </c>
    </row>
    <row r="11" spans="1:27" ht="16.2" x14ac:dyDescent="0.3">
      <c r="A11" s="2">
        <v>8</v>
      </c>
      <c r="B11" s="46">
        <v>48.8</v>
      </c>
      <c r="C11" s="5">
        <v>32.4</v>
      </c>
      <c r="D11" s="12">
        <v>23</v>
      </c>
      <c r="E11" s="12">
        <v>0</v>
      </c>
      <c r="F11" s="12">
        <v>0</v>
      </c>
      <c r="G11" s="12">
        <v>0</v>
      </c>
      <c r="H11" s="12"/>
      <c r="I11" s="12">
        <v>0</v>
      </c>
      <c r="J11" s="12">
        <v>0</v>
      </c>
      <c r="K11" s="5">
        <v>0</v>
      </c>
      <c r="L11" s="5">
        <v>0</v>
      </c>
      <c r="M11" s="5">
        <v>0</v>
      </c>
      <c r="N11" s="5">
        <v>0</v>
      </c>
      <c r="O11" s="12">
        <v>0</v>
      </c>
      <c r="P11" s="32"/>
      <c r="Q11" s="5"/>
      <c r="R11" s="5"/>
      <c r="S11" s="5"/>
      <c r="T11" s="6">
        <v>2</v>
      </c>
      <c r="U11" s="41"/>
    </row>
    <row r="12" spans="1:27" x14ac:dyDescent="0.3">
      <c r="A12" s="2">
        <v>9</v>
      </c>
      <c r="B12" s="46">
        <v>22.6</v>
      </c>
      <c r="C12" s="5">
        <v>37.4</v>
      </c>
      <c r="D12" s="12">
        <v>30</v>
      </c>
      <c r="E12" s="12">
        <v>103.8</v>
      </c>
      <c r="F12" s="12">
        <v>74.5</v>
      </c>
      <c r="G12" s="12">
        <v>88</v>
      </c>
      <c r="H12" s="12"/>
      <c r="I12" s="12">
        <v>64.2</v>
      </c>
      <c r="J12" s="12">
        <v>28</v>
      </c>
      <c r="K12" s="5">
        <v>49</v>
      </c>
      <c r="L12" s="5">
        <v>49</v>
      </c>
      <c r="M12" s="5">
        <v>28.2</v>
      </c>
      <c r="N12" s="5">
        <v>19.5</v>
      </c>
      <c r="O12" s="12">
        <v>15</v>
      </c>
      <c r="P12" s="32"/>
      <c r="Q12" s="5"/>
      <c r="R12" s="5"/>
      <c r="S12" s="5"/>
      <c r="T12" s="6">
        <v>43</v>
      </c>
    </row>
    <row r="13" spans="1:27" x14ac:dyDescent="0.3">
      <c r="A13" s="2">
        <v>10</v>
      </c>
      <c r="B13" s="46">
        <v>49.2</v>
      </c>
      <c r="C13" s="5">
        <v>47.4</v>
      </c>
      <c r="D13" s="12">
        <v>36</v>
      </c>
      <c r="E13" s="12">
        <v>23.2</v>
      </c>
      <c r="F13" s="12">
        <v>20.8</v>
      </c>
      <c r="G13" s="12">
        <v>56.5</v>
      </c>
      <c r="H13" s="12"/>
      <c r="I13" s="12">
        <v>12.8</v>
      </c>
      <c r="J13" s="12">
        <v>9.3000000000000007</v>
      </c>
      <c r="K13" s="5">
        <v>10</v>
      </c>
      <c r="L13" s="44"/>
      <c r="M13" s="5">
        <v>16.399999999999999</v>
      </c>
      <c r="N13" s="5">
        <v>15.5</v>
      </c>
      <c r="O13" s="12">
        <v>11</v>
      </c>
      <c r="P13" s="32"/>
      <c r="Q13" s="5"/>
      <c r="R13" s="5"/>
      <c r="S13" s="5"/>
      <c r="T13" s="6">
        <v>37</v>
      </c>
    </row>
    <row r="14" spans="1:27" x14ac:dyDescent="0.3">
      <c r="A14" s="2">
        <v>11</v>
      </c>
      <c r="B14" s="46">
        <v>1.2000000000000002</v>
      </c>
      <c r="C14" s="5">
        <v>4</v>
      </c>
      <c r="D14" s="12">
        <v>3</v>
      </c>
      <c r="E14" s="12">
        <v>9.8000000000000007</v>
      </c>
      <c r="F14" s="12">
        <v>7.5</v>
      </c>
      <c r="G14" s="12">
        <v>19.5</v>
      </c>
      <c r="H14" s="12"/>
      <c r="I14" s="12">
        <v>36.200000000000003</v>
      </c>
      <c r="J14" s="12">
        <v>26.3</v>
      </c>
      <c r="K14" s="5">
        <v>44</v>
      </c>
      <c r="L14" s="5">
        <v>84</v>
      </c>
      <c r="M14" s="5">
        <v>52</v>
      </c>
      <c r="N14" s="5">
        <v>136.30000000000001</v>
      </c>
      <c r="O14" s="12">
        <v>39</v>
      </c>
      <c r="P14" s="32"/>
      <c r="Q14" s="5"/>
      <c r="R14" s="5"/>
      <c r="S14" s="5"/>
      <c r="T14" s="11" t="s">
        <v>9</v>
      </c>
    </row>
    <row r="15" spans="1:27" x14ac:dyDescent="0.3">
      <c r="A15" s="2">
        <v>12</v>
      </c>
      <c r="B15" s="46">
        <v>13.8</v>
      </c>
      <c r="C15" s="5">
        <v>17</v>
      </c>
      <c r="D15" s="12">
        <v>5</v>
      </c>
      <c r="E15" s="12">
        <v>5</v>
      </c>
      <c r="F15" s="12">
        <v>9.3000000000000007</v>
      </c>
      <c r="G15" s="12" t="s">
        <v>30</v>
      </c>
      <c r="H15" s="12"/>
      <c r="I15" s="12">
        <v>22.199999999999996</v>
      </c>
      <c r="J15" s="12">
        <v>24</v>
      </c>
      <c r="K15" s="5">
        <v>25</v>
      </c>
      <c r="L15" s="5">
        <v>35</v>
      </c>
      <c r="M15" s="5">
        <v>35.6</v>
      </c>
      <c r="N15" s="5">
        <v>16.8</v>
      </c>
      <c r="O15" s="12">
        <v>81</v>
      </c>
      <c r="P15" s="32"/>
      <c r="Q15" s="5"/>
      <c r="R15" s="5"/>
      <c r="S15" s="5"/>
      <c r="T15" s="6"/>
    </row>
    <row r="16" spans="1:27" x14ac:dyDescent="0.3">
      <c r="A16" s="2">
        <v>13</v>
      </c>
      <c r="B16" s="46">
        <v>78.8</v>
      </c>
      <c r="C16" s="5">
        <v>55</v>
      </c>
      <c r="D16" s="12">
        <v>41</v>
      </c>
      <c r="E16" s="12">
        <v>61.6</v>
      </c>
      <c r="F16" s="12">
        <v>54.8</v>
      </c>
      <c r="G16" s="12">
        <v>37</v>
      </c>
      <c r="H16" s="12"/>
      <c r="I16" s="12">
        <v>53.2</v>
      </c>
      <c r="J16" s="12">
        <v>49</v>
      </c>
      <c r="K16" s="5">
        <v>55</v>
      </c>
      <c r="L16" s="5">
        <v>210</v>
      </c>
      <c r="M16" s="5">
        <v>54.8</v>
      </c>
      <c r="N16" s="5">
        <v>42</v>
      </c>
      <c r="O16" s="12">
        <v>52</v>
      </c>
      <c r="P16" s="32"/>
      <c r="Q16" s="5"/>
      <c r="R16" s="5"/>
      <c r="S16" s="5"/>
      <c r="T16" s="6"/>
    </row>
    <row r="17" spans="1:20" x14ac:dyDescent="0.3">
      <c r="A17" s="2">
        <v>14</v>
      </c>
      <c r="B17" s="46">
        <v>0.2</v>
      </c>
      <c r="C17" s="5">
        <v>0.1</v>
      </c>
      <c r="D17" s="12">
        <v>0.6</v>
      </c>
      <c r="E17" s="12">
        <v>0</v>
      </c>
      <c r="F17" s="12">
        <v>1.5</v>
      </c>
      <c r="G17" s="12"/>
      <c r="H17" s="12"/>
      <c r="I17" s="12">
        <v>24.6</v>
      </c>
      <c r="J17" s="12">
        <v>18.5</v>
      </c>
      <c r="K17" s="5">
        <v>50</v>
      </c>
      <c r="L17" s="5"/>
      <c r="M17" s="5">
        <v>26.8</v>
      </c>
      <c r="N17" s="77"/>
      <c r="O17" s="12">
        <v>31</v>
      </c>
      <c r="P17" s="32"/>
      <c r="Q17" s="5"/>
      <c r="R17" s="5"/>
      <c r="S17" s="5"/>
      <c r="T17" s="6"/>
    </row>
    <row r="18" spans="1:20" x14ac:dyDescent="0.3">
      <c r="A18" s="2">
        <v>15</v>
      </c>
      <c r="B18" s="46"/>
      <c r="C18" s="5"/>
      <c r="D18" s="12"/>
      <c r="E18" s="12"/>
      <c r="F18" s="12"/>
      <c r="G18" s="12"/>
      <c r="H18" s="12"/>
      <c r="I18" s="12"/>
      <c r="J18" s="12"/>
      <c r="K18" s="5"/>
      <c r="L18" s="5"/>
      <c r="M18" s="5"/>
      <c r="N18" s="5"/>
      <c r="O18" s="12"/>
      <c r="P18" s="32"/>
      <c r="Q18" s="5"/>
      <c r="R18" s="5"/>
      <c r="S18" s="5"/>
      <c r="T18" s="6"/>
    </row>
    <row r="19" spans="1:20" x14ac:dyDescent="0.3">
      <c r="A19" s="2">
        <v>16</v>
      </c>
      <c r="B19" s="46"/>
      <c r="C19" s="5"/>
      <c r="D19" s="12"/>
      <c r="E19" s="12"/>
      <c r="F19" s="12"/>
      <c r="G19" s="12"/>
      <c r="H19" s="12"/>
      <c r="I19" s="12"/>
      <c r="J19" s="12"/>
      <c r="K19" s="5"/>
      <c r="L19" s="5"/>
      <c r="M19" s="5"/>
      <c r="N19" s="5"/>
      <c r="O19" s="12"/>
      <c r="P19" s="32"/>
      <c r="Q19" s="5"/>
      <c r="R19" s="5"/>
      <c r="S19" s="5"/>
      <c r="T19" s="6"/>
    </row>
    <row r="20" spans="1:20" x14ac:dyDescent="0.3">
      <c r="A20" s="2">
        <v>17</v>
      </c>
      <c r="B20" s="46"/>
      <c r="C20" s="5"/>
      <c r="D20" s="12"/>
      <c r="E20" s="12"/>
      <c r="F20" s="12"/>
      <c r="G20" s="12"/>
      <c r="H20" s="12"/>
      <c r="I20" s="12"/>
      <c r="J20" s="12"/>
      <c r="K20" s="5"/>
      <c r="L20" s="5"/>
      <c r="M20" s="5"/>
      <c r="N20" s="5"/>
      <c r="O20" s="12"/>
      <c r="P20" s="32"/>
      <c r="Q20" s="5"/>
      <c r="R20" s="5"/>
      <c r="S20" s="5"/>
      <c r="T20" s="6"/>
    </row>
    <row r="21" spans="1:20" x14ac:dyDescent="0.3">
      <c r="A21" s="2">
        <v>18</v>
      </c>
      <c r="B21" s="46"/>
      <c r="C21" s="5"/>
      <c r="D21" s="12"/>
      <c r="E21" s="12"/>
      <c r="F21" s="12"/>
      <c r="G21" s="12"/>
      <c r="H21" s="12"/>
      <c r="I21" s="12"/>
      <c r="J21" s="12"/>
      <c r="K21" s="5"/>
      <c r="L21" s="5"/>
      <c r="M21" s="5"/>
      <c r="N21" s="5"/>
      <c r="O21" s="12"/>
      <c r="P21" s="32"/>
      <c r="Q21" s="5"/>
      <c r="R21" s="5"/>
      <c r="S21" s="5"/>
      <c r="T21" s="6"/>
    </row>
    <row r="22" spans="1:20" x14ac:dyDescent="0.3">
      <c r="A22" s="2">
        <v>19</v>
      </c>
      <c r="B22" s="46"/>
      <c r="C22" s="5"/>
      <c r="D22" s="12"/>
      <c r="E22" s="12"/>
      <c r="F22" s="12"/>
      <c r="G22" s="12"/>
      <c r="H22" s="12"/>
      <c r="I22" s="12"/>
      <c r="J22" s="12"/>
      <c r="K22" s="5"/>
      <c r="L22" s="5"/>
      <c r="M22" s="5"/>
      <c r="N22" s="5"/>
      <c r="O22" s="12"/>
      <c r="P22" s="32"/>
      <c r="Q22" s="5"/>
      <c r="R22" s="5"/>
      <c r="S22" s="5"/>
      <c r="T22" s="6"/>
    </row>
    <row r="23" spans="1:20" x14ac:dyDescent="0.3">
      <c r="A23" s="2">
        <v>20</v>
      </c>
      <c r="B23" s="46"/>
      <c r="C23" s="5"/>
      <c r="D23" s="12"/>
      <c r="E23" s="12"/>
      <c r="F23" s="12"/>
      <c r="G23" s="12"/>
      <c r="H23" s="12"/>
      <c r="I23" s="12"/>
      <c r="J23" s="12"/>
      <c r="K23" s="5"/>
      <c r="L23" s="5"/>
      <c r="M23" s="5"/>
      <c r="N23" s="5"/>
      <c r="O23" s="12"/>
      <c r="P23" s="32"/>
      <c r="Q23" s="5"/>
      <c r="R23" s="5"/>
      <c r="S23" s="5"/>
      <c r="T23" s="6"/>
    </row>
    <row r="24" spans="1:20" x14ac:dyDescent="0.3">
      <c r="A24" s="2">
        <v>21</v>
      </c>
      <c r="B24" s="46"/>
      <c r="C24" s="5"/>
      <c r="D24" s="12"/>
      <c r="E24" s="12"/>
      <c r="F24" s="12"/>
      <c r="G24" s="12"/>
      <c r="H24" s="12"/>
      <c r="I24" s="12"/>
      <c r="J24" s="12"/>
      <c r="K24" s="5"/>
      <c r="L24" s="5"/>
      <c r="M24" s="5"/>
      <c r="N24" s="5"/>
      <c r="O24" s="12"/>
      <c r="P24" s="32"/>
      <c r="Q24" s="5"/>
      <c r="R24" s="5"/>
      <c r="S24" s="5"/>
      <c r="T24" s="6"/>
    </row>
    <row r="25" spans="1:20" x14ac:dyDescent="0.3">
      <c r="A25" s="2">
        <v>22</v>
      </c>
      <c r="B25" s="46"/>
      <c r="C25" s="5"/>
      <c r="D25" s="12"/>
      <c r="E25" s="12"/>
      <c r="F25" s="12"/>
      <c r="G25" s="12"/>
      <c r="H25" s="12"/>
      <c r="I25" s="12"/>
      <c r="J25" s="12"/>
      <c r="K25" s="5"/>
      <c r="L25" s="5"/>
      <c r="M25" s="5"/>
      <c r="N25" s="5"/>
      <c r="O25" s="12"/>
      <c r="P25" s="32"/>
      <c r="Q25" s="5"/>
      <c r="R25" s="5"/>
      <c r="S25" s="5"/>
      <c r="T25" s="6"/>
    </row>
    <row r="26" spans="1:20" x14ac:dyDescent="0.3">
      <c r="A26" s="2">
        <v>23</v>
      </c>
      <c r="B26" s="46"/>
      <c r="C26" s="5"/>
      <c r="D26" s="12"/>
      <c r="E26" s="12"/>
      <c r="F26" s="12"/>
      <c r="G26" s="12"/>
      <c r="H26" s="12"/>
      <c r="I26" s="12"/>
      <c r="J26" s="12"/>
      <c r="K26" s="5"/>
      <c r="L26" s="5"/>
      <c r="M26" s="5"/>
      <c r="N26" s="5"/>
      <c r="O26" s="12"/>
      <c r="P26" s="32"/>
      <c r="Q26" s="5"/>
      <c r="R26" s="5"/>
      <c r="S26" s="5"/>
      <c r="T26" s="6"/>
    </row>
    <row r="27" spans="1:20" x14ac:dyDescent="0.3">
      <c r="A27" s="2">
        <v>24</v>
      </c>
      <c r="B27" s="46"/>
      <c r="C27" s="5"/>
      <c r="D27" s="12"/>
      <c r="E27" s="12"/>
      <c r="F27" s="12"/>
      <c r="G27" s="12"/>
      <c r="H27" s="12"/>
      <c r="I27" s="12"/>
      <c r="J27" s="12"/>
      <c r="K27" s="5"/>
      <c r="L27" s="5"/>
      <c r="M27" s="5"/>
      <c r="N27" s="5"/>
      <c r="O27" s="12"/>
      <c r="P27" s="32"/>
      <c r="Q27" s="5"/>
      <c r="R27" s="5"/>
      <c r="S27" s="5"/>
      <c r="T27" s="6"/>
    </row>
    <row r="28" spans="1:20" x14ac:dyDescent="0.3">
      <c r="A28" s="2">
        <v>25</v>
      </c>
      <c r="B28" s="46"/>
      <c r="C28" s="5"/>
      <c r="D28" s="12"/>
      <c r="E28" s="12"/>
      <c r="F28" s="12"/>
      <c r="G28" s="12"/>
      <c r="H28" s="12"/>
      <c r="I28" s="12"/>
      <c r="J28" s="12"/>
      <c r="K28" s="5"/>
      <c r="L28" s="5"/>
      <c r="M28" s="5"/>
      <c r="N28" s="5"/>
      <c r="O28" s="12"/>
      <c r="P28" s="32"/>
      <c r="Q28" s="5"/>
      <c r="R28" s="5"/>
      <c r="S28" s="5"/>
      <c r="T28" s="6"/>
    </row>
    <row r="29" spans="1:20" x14ac:dyDescent="0.3">
      <c r="A29" s="2">
        <v>26</v>
      </c>
      <c r="B29" s="46"/>
      <c r="C29" s="5"/>
      <c r="D29" s="12"/>
      <c r="E29" s="12"/>
      <c r="F29" s="12"/>
      <c r="G29" s="12"/>
      <c r="H29" s="12"/>
      <c r="I29" s="12"/>
      <c r="J29" s="12"/>
      <c r="K29" s="5"/>
      <c r="L29" s="5"/>
      <c r="M29" s="5"/>
      <c r="N29" s="5"/>
      <c r="O29" s="12"/>
      <c r="P29" s="32"/>
      <c r="Q29" s="5"/>
      <c r="R29" s="5"/>
      <c r="S29" s="5"/>
      <c r="T29" s="6"/>
    </row>
    <row r="30" spans="1:20" x14ac:dyDescent="0.3">
      <c r="A30" s="2">
        <v>27</v>
      </c>
      <c r="B30" s="46"/>
      <c r="C30" s="5"/>
      <c r="D30" s="12"/>
      <c r="E30" s="12"/>
      <c r="F30" s="12"/>
      <c r="G30" s="12"/>
      <c r="H30" s="12"/>
      <c r="I30" s="12"/>
      <c r="J30" s="12"/>
      <c r="K30" s="5"/>
      <c r="L30" s="5"/>
      <c r="M30" s="5"/>
      <c r="N30" s="5"/>
      <c r="O30" s="12"/>
      <c r="P30" s="32"/>
      <c r="Q30" s="5"/>
      <c r="R30" s="5"/>
      <c r="S30" s="5"/>
      <c r="T30" s="6"/>
    </row>
    <row r="31" spans="1:20" x14ac:dyDescent="0.3">
      <c r="A31" s="2">
        <v>28</v>
      </c>
      <c r="B31" s="46"/>
      <c r="C31" s="5"/>
      <c r="D31" s="12"/>
      <c r="E31" s="12"/>
      <c r="F31" s="12"/>
      <c r="G31" s="12"/>
      <c r="H31" s="12"/>
      <c r="I31" s="12"/>
      <c r="J31" s="12"/>
      <c r="K31" s="5"/>
      <c r="L31" s="5"/>
      <c r="M31" s="5"/>
      <c r="N31" s="5"/>
      <c r="O31" s="12"/>
      <c r="P31" s="32"/>
      <c r="Q31" s="5"/>
      <c r="R31" s="5"/>
      <c r="S31" s="5"/>
      <c r="T31" s="6"/>
    </row>
    <row r="32" spans="1:20" x14ac:dyDescent="0.3">
      <c r="A32" s="2">
        <v>29</v>
      </c>
      <c r="B32" s="46"/>
      <c r="C32" s="5"/>
      <c r="D32" s="12"/>
      <c r="E32" s="12"/>
      <c r="F32" s="12"/>
      <c r="G32" s="12"/>
      <c r="H32" s="12"/>
      <c r="I32" s="12"/>
      <c r="J32" s="12"/>
      <c r="K32" s="5"/>
      <c r="L32" s="5"/>
      <c r="M32" s="5"/>
      <c r="N32" s="5"/>
      <c r="O32" s="12"/>
      <c r="P32" s="32"/>
      <c r="Q32" s="5"/>
      <c r="R32" s="5"/>
      <c r="S32" s="5"/>
      <c r="T32" s="6"/>
    </row>
    <row r="33" spans="1:20" x14ac:dyDescent="0.3">
      <c r="A33" s="2">
        <v>30</v>
      </c>
      <c r="B33" s="46"/>
      <c r="C33" s="5"/>
      <c r="D33" s="12"/>
      <c r="E33" s="12"/>
      <c r="F33" s="12"/>
      <c r="G33" s="12"/>
      <c r="H33" s="12"/>
      <c r="I33" s="12"/>
      <c r="J33" s="12"/>
      <c r="K33" s="5"/>
      <c r="L33" s="5"/>
      <c r="M33" s="5"/>
      <c r="N33" s="5"/>
      <c r="O33" s="12"/>
      <c r="P33" s="32"/>
      <c r="Q33" s="5"/>
      <c r="R33" s="5"/>
      <c r="S33" s="5"/>
      <c r="T33" s="6"/>
    </row>
    <row r="34" spans="1:20" ht="15" thickBot="1" x14ac:dyDescent="0.35">
      <c r="A34" s="3">
        <v>31</v>
      </c>
      <c r="B34" s="47"/>
      <c r="C34" s="7"/>
      <c r="D34" s="13"/>
      <c r="E34" s="13"/>
      <c r="F34" s="13"/>
      <c r="G34" s="13"/>
      <c r="H34" s="13"/>
      <c r="I34" s="13"/>
      <c r="J34" s="13"/>
      <c r="K34" s="7"/>
      <c r="L34" s="7"/>
      <c r="M34" s="7"/>
      <c r="N34" s="7"/>
      <c r="O34" s="13"/>
      <c r="P34" s="32"/>
      <c r="Q34" s="5"/>
      <c r="R34" s="5"/>
      <c r="S34" s="5"/>
      <c r="T34" s="8"/>
    </row>
    <row r="35" spans="1:20" ht="15" thickBot="1" x14ac:dyDescent="0.35">
      <c r="A35" s="48" t="s">
        <v>6</v>
      </c>
      <c r="B35" s="48">
        <f>SUM(B4:B34)</f>
        <v>257.2</v>
      </c>
      <c r="C35" s="49">
        <f>SUM(C4:C34)</f>
        <v>243.4</v>
      </c>
      <c r="D35" s="50">
        <f>SUM(D4:D34)</f>
        <v>196.9</v>
      </c>
      <c r="E35" s="50">
        <f>SUM(E4:E34)</f>
        <v>256.8</v>
      </c>
      <c r="F35" s="50">
        <f>SUM(F4:F34)</f>
        <v>223.70000000000005</v>
      </c>
      <c r="G35" s="50">
        <f t="shared" ref="B35:P35" si="1">SUM(G4:G34)</f>
        <v>287.5</v>
      </c>
      <c r="H35" s="50">
        <f t="shared" si="1"/>
        <v>0</v>
      </c>
      <c r="I35" s="50">
        <f>SUM(I4:I34)</f>
        <v>283</v>
      </c>
      <c r="J35" s="50">
        <f t="shared" si="1"/>
        <v>208.5</v>
      </c>
      <c r="K35" s="50">
        <f t="shared" si="1"/>
        <v>320</v>
      </c>
      <c r="L35" s="50">
        <f t="shared" si="1"/>
        <v>378</v>
      </c>
      <c r="M35" s="50">
        <f t="shared" si="1"/>
        <v>304.60000000000002</v>
      </c>
      <c r="N35" s="50">
        <f t="shared" si="1"/>
        <v>267.60000000000002</v>
      </c>
      <c r="O35" s="51">
        <f t="shared" si="1"/>
        <v>307.29999999999995</v>
      </c>
      <c r="P35" s="31">
        <f t="shared" si="1"/>
        <v>0</v>
      </c>
      <c r="Q35" s="31">
        <f t="shared" ref="Q35:S35" si="2">SUM(Q4:Q34)</f>
        <v>0</v>
      </c>
      <c r="R35" s="31">
        <f t="shared" si="2"/>
        <v>0</v>
      </c>
      <c r="S35" s="31">
        <f t="shared" si="2"/>
        <v>0</v>
      </c>
      <c r="T35" s="10">
        <f>SUM(T4:T34)</f>
        <v>86</v>
      </c>
    </row>
    <row r="36" spans="1:20" ht="15" thickBot="1" x14ac:dyDescent="0.35">
      <c r="A36" s="52" t="s">
        <v>7</v>
      </c>
      <c r="B36" s="52">
        <v>253.4</v>
      </c>
      <c r="C36" s="52">
        <v>253.4</v>
      </c>
      <c r="D36" s="52">
        <v>227.6</v>
      </c>
      <c r="E36" s="52">
        <v>227.6</v>
      </c>
      <c r="F36" s="52">
        <v>227.6</v>
      </c>
      <c r="G36" s="52">
        <v>227.6</v>
      </c>
      <c r="H36" s="52">
        <v>227.6</v>
      </c>
      <c r="I36" s="52">
        <v>277.89999999999998</v>
      </c>
      <c r="J36" s="52">
        <v>247</v>
      </c>
      <c r="K36" s="52">
        <v>277.89999999999998</v>
      </c>
      <c r="L36" s="52">
        <v>277.89999999999998</v>
      </c>
      <c r="M36" s="52">
        <v>247</v>
      </c>
      <c r="N36" s="52">
        <v>247</v>
      </c>
      <c r="O36" s="53">
        <v>247</v>
      </c>
      <c r="P36" s="39"/>
      <c r="Q36" s="39"/>
      <c r="R36" s="39"/>
      <c r="S36" s="39"/>
      <c r="T36" s="4">
        <v>0</v>
      </c>
    </row>
    <row r="37" spans="1:20" ht="15" thickBot="1" x14ac:dyDescent="0.35">
      <c r="E37" s="40" t="s">
        <v>12</v>
      </c>
      <c r="F37" s="40" t="s">
        <v>12</v>
      </c>
      <c r="G37" s="40" t="s">
        <v>12</v>
      </c>
      <c r="H37" s="40"/>
      <c r="I37" s="40" t="s">
        <v>24</v>
      </c>
      <c r="J37" s="40" t="s">
        <v>28</v>
      </c>
      <c r="L37" s="40" t="s">
        <v>24</v>
      </c>
      <c r="M37" s="40"/>
      <c r="N37" s="40" t="s">
        <v>28</v>
      </c>
    </row>
    <row r="38" spans="1:20" ht="15" thickBot="1" x14ac:dyDescent="0.35">
      <c r="A38" s="53" t="s">
        <v>8</v>
      </c>
      <c r="B38" s="51">
        <f>B35-B36</f>
        <v>3.7999999999999829</v>
      </c>
      <c r="C38" s="54">
        <f t="shared" ref="B38:G38" si="3">C35-C36</f>
        <v>-10</v>
      </c>
      <c r="D38" s="54">
        <f t="shared" si="3"/>
        <v>-30.699999999999989</v>
      </c>
      <c r="E38" s="50">
        <f t="shared" si="3"/>
        <v>29.200000000000017</v>
      </c>
      <c r="F38" s="54">
        <f t="shared" si="3"/>
        <v>-3.8999999999999488</v>
      </c>
      <c r="G38" s="50">
        <f t="shared" si="3"/>
        <v>59.900000000000006</v>
      </c>
      <c r="H38" s="52"/>
      <c r="I38" s="50">
        <f t="shared" ref="I38:O38" si="4">I35-I36</f>
        <v>5.1000000000000227</v>
      </c>
      <c r="J38" s="54">
        <f t="shared" si="4"/>
        <v>-38.5</v>
      </c>
      <c r="K38" s="50">
        <f t="shared" si="4"/>
        <v>42.100000000000023</v>
      </c>
      <c r="L38" s="50">
        <f t="shared" si="4"/>
        <v>100.10000000000002</v>
      </c>
      <c r="M38" s="50">
        <f t="shared" si="4"/>
        <v>57.600000000000023</v>
      </c>
      <c r="N38" s="50">
        <f t="shared" si="4"/>
        <v>20.600000000000023</v>
      </c>
      <c r="O38" s="51">
        <f t="shared" si="4"/>
        <v>60.299999999999955</v>
      </c>
      <c r="P38" s="9"/>
      <c r="Q38" s="9"/>
      <c r="R38" s="9"/>
      <c r="S38" s="43"/>
      <c r="T38" s="42"/>
    </row>
    <row r="40" spans="1:20" ht="16.2" x14ac:dyDescent="0.3">
      <c r="A40" s="41" t="s">
        <v>17</v>
      </c>
      <c r="B40" s="41"/>
      <c r="G40" t="s">
        <v>25</v>
      </c>
    </row>
    <row r="41" spans="1:20" ht="16.2" x14ac:dyDescent="0.3">
      <c r="A41" s="41" t="s">
        <v>18</v>
      </c>
      <c r="B41" s="41"/>
      <c r="G41" t="s">
        <v>27</v>
      </c>
    </row>
    <row r="42" spans="1:20" ht="16.2" x14ac:dyDescent="0.3">
      <c r="A42" s="41" t="s">
        <v>33</v>
      </c>
      <c r="B42" s="41"/>
      <c r="G42" t="s">
        <v>29</v>
      </c>
    </row>
    <row r="43" spans="1:20" ht="16.2" x14ac:dyDescent="0.3">
      <c r="A43" s="41" t="s">
        <v>19</v>
      </c>
      <c r="B43" s="41"/>
    </row>
    <row r="49" spans="1:12" ht="15" thickBot="1" x14ac:dyDescent="0.35"/>
    <row r="50" spans="1:12" ht="15" thickBot="1" x14ac:dyDescent="0.35">
      <c r="F50" s="78" t="s">
        <v>39</v>
      </c>
      <c r="G50" s="79"/>
      <c r="H50" s="79"/>
      <c r="I50" s="79"/>
      <c r="J50" s="80"/>
    </row>
    <row r="51" spans="1:12" ht="15" thickBot="1" x14ac:dyDescent="0.35">
      <c r="C51" s="55" t="s">
        <v>5</v>
      </c>
      <c r="D51" s="52">
        <v>2026</v>
      </c>
    </row>
    <row r="52" spans="1:12" ht="31.2" thickBot="1" x14ac:dyDescent="0.35">
      <c r="B52" s="56"/>
      <c r="C52" s="58" t="s">
        <v>32</v>
      </c>
      <c r="D52" s="59" t="s">
        <v>13</v>
      </c>
      <c r="E52" s="58" t="s">
        <v>20</v>
      </c>
      <c r="F52" s="58" t="s">
        <v>34</v>
      </c>
      <c r="G52" s="59" t="s">
        <v>22</v>
      </c>
      <c r="H52" s="58" t="s">
        <v>35</v>
      </c>
      <c r="I52" s="59" t="s">
        <v>40</v>
      </c>
      <c r="J52" s="58" t="s">
        <v>41</v>
      </c>
      <c r="K52" s="59" t="s">
        <v>36</v>
      </c>
      <c r="L52" s="58" t="s">
        <v>16</v>
      </c>
    </row>
    <row r="53" spans="1:12" ht="15" thickBot="1" x14ac:dyDescent="0.35">
      <c r="B53" s="61" t="s">
        <v>4</v>
      </c>
      <c r="C53" s="62">
        <f>B35</f>
        <v>257.2</v>
      </c>
      <c r="D53" s="60">
        <f>C35</f>
        <v>243.4</v>
      </c>
      <c r="E53" s="60">
        <f>D35</f>
        <v>196.9</v>
      </c>
      <c r="F53" s="60">
        <f>E35</f>
        <v>256.8</v>
      </c>
      <c r="G53" s="60">
        <f>F35</f>
        <v>223.70000000000005</v>
      </c>
      <c r="H53" s="60">
        <f>I35</f>
        <v>283</v>
      </c>
      <c r="I53" s="60">
        <f>J35</f>
        <v>208.5</v>
      </c>
      <c r="J53" s="60">
        <f>K35</f>
        <v>320</v>
      </c>
      <c r="K53" s="60">
        <f>M35</f>
        <v>304.60000000000002</v>
      </c>
      <c r="L53" s="73">
        <f>O35</f>
        <v>307.29999999999995</v>
      </c>
    </row>
    <row r="54" spans="1:12" ht="15" thickBot="1" x14ac:dyDescent="0.35">
      <c r="B54" s="65" t="s">
        <v>38</v>
      </c>
      <c r="C54" s="66">
        <v>253.4</v>
      </c>
      <c r="D54" s="67">
        <v>253.4</v>
      </c>
      <c r="E54" s="67">
        <v>227.6</v>
      </c>
      <c r="F54" s="67">
        <v>227.6</v>
      </c>
      <c r="G54" s="67">
        <v>227.6</v>
      </c>
      <c r="H54" s="67">
        <v>277.89999999999998</v>
      </c>
      <c r="I54" s="67">
        <v>247</v>
      </c>
      <c r="J54" s="67">
        <v>277.89999999999998</v>
      </c>
      <c r="K54" s="67">
        <v>247</v>
      </c>
      <c r="L54" s="68">
        <v>247</v>
      </c>
    </row>
    <row r="55" spans="1:12" ht="15" thickBot="1" x14ac:dyDescent="0.35">
      <c r="B55" s="61" t="s">
        <v>8</v>
      </c>
      <c r="C55" s="69">
        <f>C53-C54</f>
        <v>3.7999999999999829</v>
      </c>
      <c r="D55" s="81">
        <f>D53-D54</f>
        <v>-10</v>
      </c>
      <c r="E55" s="81">
        <f t="shared" ref="E55:L55" si="5">E53-E54</f>
        <v>-30.699999999999989</v>
      </c>
      <c r="F55" s="69">
        <f t="shared" si="5"/>
        <v>29.200000000000017</v>
      </c>
      <c r="G55" s="81">
        <f t="shared" si="5"/>
        <v>-3.8999999999999488</v>
      </c>
      <c r="H55" s="69">
        <f t="shared" si="5"/>
        <v>5.1000000000000227</v>
      </c>
      <c r="I55" s="81">
        <f t="shared" si="5"/>
        <v>-38.5</v>
      </c>
      <c r="J55" s="69">
        <f t="shared" si="5"/>
        <v>42.100000000000023</v>
      </c>
      <c r="K55" s="69">
        <f t="shared" si="5"/>
        <v>57.600000000000023</v>
      </c>
      <c r="L55" s="69">
        <f t="shared" si="5"/>
        <v>60.299999999999955</v>
      </c>
    </row>
    <row r="57" spans="1:12" ht="16.2" x14ac:dyDescent="0.3">
      <c r="A57" s="41"/>
      <c r="B57" s="41" t="s">
        <v>17</v>
      </c>
      <c r="D57" s="41" t="s">
        <v>18</v>
      </c>
      <c r="F57" s="41" t="s">
        <v>33</v>
      </c>
      <c r="H57" s="82" t="s">
        <v>43</v>
      </c>
    </row>
    <row r="58" spans="1:12" x14ac:dyDescent="0.3">
      <c r="D58" t="s">
        <v>44</v>
      </c>
    </row>
  </sheetData>
  <mergeCells count="2">
    <mergeCell ref="W2:AA2"/>
    <mergeCell ref="F50:J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BF0A-8F86-4A05-8E59-091769C7F2F4}">
  <dimension ref="B5:L15"/>
  <sheetViews>
    <sheetView workbookViewId="0">
      <selection activeCell="D19" sqref="D19"/>
    </sheetView>
  </sheetViews>
  <sheetFormatPr baseColWidth="10" defaultRowHeight="14.4" x14ac:dyDescent="0.3"/>
  <sheetData>
    <row r="5" spans="2:12" ht="15" thickBot="1" x14ac:dyDescent="0.35"/>
    <row r="6" spans="2:12" ht="15" thickBot="1" x14ac:dyDescent="0.35">
      <c r="F6" s="78" t="s">
        <v>39</v>
      </c>
      <c r="G6" s="79"/>
      <c r="H6" s="79"/>
      <c r="I6" s="79"/>
      <c r="J6" s="80"/>
    </row>
    <row r="7" spans="2:12" ht="15" thickBot="1" x14ac:dyDescent="0.35">
      <c r="C7" s="55" t="s">
        <v>5</v>
      </c>
      <c r="D7" s="52">
        <v>2026</v>
      </c>
    </row>
    <row r="8" spans="2:12" ht="31.2" thickBot="1" x14ac:dyDescent="0.35">
      <c r="B8" s="56"/>
      <c r="C8" s="58" t="s">
        <v>32</v>
      </c>
      <c r="D8" s="59" t="s">
        <v>13</v>
      </c>
      <c r="E8" s="58" t="s">
        <v>20</v>
      </c>
      <c r="F8" s="58" t="s">
        <v>34</v>
      </c>
      <c r="G8" s="59" t="s">
        <v>22</v>
      </c>
      <c r="H8" s="58" t="s">
        <v>35</v>
      </c>
      <c r="I8" s="59" t="s">
        <v>40</v>
      </c>
      <c r="J8" s="58" t="s">
        <v>41</v>
      </c>
      <c r="K8" s="59" t="s">
        <v>36</v>
      </c>
      <c r="L8" s="58" t="s">
        <v>16</v>
      </c>
    </row>
    <row r="9" spans="2:12" ht="15" thickBot="1" x14ac:dyDescent="0.35">
      <c r="B9" s="63" t="s">
        <v>42</v>
      </c>
      <c r="C9" s="57">
        <f>SUM('10,2026'!B11:B16)</f>
        <v>214.40000000000003</v>
      </c>
      <c r="D9" s="57">
        <f>SUM('10,2026'!C11:C16)</f>
        <v>193.2</v>
      </c>
      <c r="E9" s="57">
        <f>SUM('10,2026'!D11:D16)</f>
        <v>138</v>
      </c>
      <c r="F9" s="57">
        <f>SUM('10,2026'!E11:E16)</f>
        <v>203.4</v>
      </c>
      <c r="G9" s="57">
        <f>SUM('10,2026'!F11:F16)</f>
        <v>166.89999999999998</v>
      </c>
      <c r="H9" s="57">
        <f>SUM('10,2026'!I12:I16)</f>
        <v>188.60000000000002</v>
      </c>
      <c r="I9" s="57">
        <f>SUM('10,2026'!J12:J16)</f>
        <v>136.6</v>
      </c>
      <c r="J9" s="57">
        <f>SUM('10,2026'!K12:K16)</f>
        <v>183</v>
      </c>
      <c r="K9" s="57">
        <f>SUM('10,2026'!M11:M16)</f>
        <v>187</v>
      </c>
      <c r="L9" s="72">
        <f>SUM('10,2026'!O12:O16)</f>
        <v>198</v>
      </c>
    </row>
    <row r="10" spans="2:12" ht="15" thickBot="1" x14ac:dyDescent="0.35">
      <c r="B10" s="61" t="s">
        <v>4</v>
      </c>
      <c r="C10" s="62">
        <v>257</v>
      </c>
      <c r="D10" s="60">
        <v>243.3</v>
      </c>
      <c r="E10" s="60">
        <v>196.3</v>
      </c>
      <c r="F10" s="60">
        <v>256.8</v>
      </c>
      <c r="G10" s="60">
        <v>222.2</v>
      </c>
      <c r="H10" s="60">
        <v>258.39999999999998</v>
      </c>
      <c r="I10" s="60">
        <v>190</v>
      </c>
      <c r="J10" s="60">
        <v>270</v>
      </c>
      <c r="K10" s="60">
        <v>277.8</v>
      </c>
      <c r="L10" s="73">
        <v>276.3</v>
      </c>
    </row>
    <row r="11" spans="2:12" ht="15" thickBot="1" x14ac:dyDescent="0.35">
      <c r="B11" s="65" t="s">
        <v>38</v>
      </c>
      <c r="C11" s="66">
        <v>253.4</v>
      </c>
      <c r="D11" s="67">
        <v>253.4</v>
      </c>
      <c r="E11" s="67">
        <v>227.6</v>
      </c>
      <c r="F11" s="67">
        <v>227.6</v>
      </c>
      <c r="G11" s="67">
        <v>227.6</v>
      </c>
      <c r="H11" s="67">
        <v>277.89999999999998</v>
      </c>
      <c r="I11" s="67">
        <v>247</v>
      </c>
      <c r="J11" s="67">
        <v>277.89999999999998</v>
      </c>
      <c r="K11" s="67">
        <v>247</v>
      </c>
      <c r="L11" s="68">
        <v>247</v>
      </c>
    </row>
    <row r="12" spans="2:12" ht="15" thickBot="1" x14ac:dyDescent="0.35">
      <c r="B12" s="61" t="s">
        <v>8</v>
      </c>
      <c r="C12" s="69">
        <v>3.6</v>
      </c>
      <c r="D12" s="64">
        <v>-10.1</v>
      </c>
      <c r="E12" s="64">
        <v>-31.3</v>
      </c>
      <c r="F12" s="70">
        <v>29.2</v>
      </c>
      <c r="G12" s="64">
        <v>-5.4</v>
      </c>
      <c r="H12" s="64">
        <v>-19.5</v>
      </c>
      <c r="I12" s="64">
        <v>57</v>
      </c>
      <c r="J12" s="64">
        <v>-7.9</v>
      </c>
      <c r="K12" s="70">
        <v>30.8</v>
      </c>
      <c r="L12" s="71">
        <v>29.3</v>
      </c>
    </row>
    <row r="14" spans="2:12" ht="16.2" x14ac:dyDescent="0.3">
      <c r="B14" s="41" t="s">
        <v>17</v>
      </c>
      <c r="D14" s="41" t="s">
        <v>18</v>
      </c>
      <c r="F14" s="41" t="s">
        <v>33</v>
      </c>
    </row>
    <row r="15" spans="2:12" ht="16.2" x14ac:dyDescent="0.3">
      <c r="B15" s="41"/>
    </row>
  </sheetData>
  <mergeCells count="1">
    <mergeCell ref="F6:J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38CE-E1F3-4681-88A0-B639B2AE74F6}">
  <dimension ref="A1"/>
  <sheetViews>
    <sheetView topLeftCell="A4" workbookViewId="0">
      <selection activeCell="E22" sqref="E22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10,2026</vt:lpstr>
      <vt:lpstr>informe 13,10,26</vt:lpstr>
      <vt:lpstr>11,2026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Maximo Rivero</dc:creator>
  <cp:lastModifiedBy>Leonardo Maximo Rivero</cp:lastModifiedBy>
  <dcterms:created xsi:type="dcterms:W3CDTF">2015-06-05T18:19:34Z</dcterms:created>
  <dcterms:modified xsi:type="dcterms:W3CDTF">2026-10-14T18:34:54Z</dcterms:modified>
</cp:coreProperties>
</file>